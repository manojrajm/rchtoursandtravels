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96" windowWidth="18516" windowHeight="76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49" i="1"/>
  <c r="H50" s="1"/>
  <c r="G24"/>
  <c r="G29" s="1"/>
  <c r="H49" l="1"/>
  <c r="H36"/>
  <c r="H52" l="1"/>
</calcChain>
</file>

<file path=xl/sharedStrings.xml><?xml version="1.0" encoding="utf-8"?>
<sst xmlns="http://schemas.openxmlformats.org/spreadsheetml/2006/main" count="89" uniqueCount="58">
  <si>
    <t>Room Count</t>
  </si>
  <si>
    <t>Booking Type</t>
  </si>
  <si>
    <t>Room No</t>
  </si>
  <si>
    <t>Ac Type</t>
  </si>
  <si>
    <t>Total Amount</t>
  </si>
  <si>
    <t>Advance</t>
  </si>
  <si>
    <t>Balance</t>
  </si>
  <si>
    <t>Phone Pe</t>
  </si>
  <si>
    <t>MMT</t>
  </si>
  <si>
    <t>Ac</t>
  </si>
  <si>
    <t>N.Ac</t>
  </si>
  <si>
    <t>Paid</t>
  </si>
  <si>
    <r>
      <rPr>
        <b/>
        <sz val="11"/>
        <color rgb="FFFF0000"/>
        <rFont val="Calibri"/>
        <family val="2"/>
        <scheme val="minor"/>
      </rPr>
      <t>Total</t>
    </r>
    <r>
      <rPr>
        <sz val="11"/>
        <color rgb="FFFF0000"/>
        <rFont val="Calibri"/>
        <family val="2"/>
        <scheme val="minor"/>
      </rPr>
      <t xml:space="preserve"> </t>
    </r>
  </si>
  <si>
    <r>
      <t xml:space="preserve">                                                 </t>
    </r>
    <r>
      <rPr>
        <b/>
        <sz val="11"/>
        <color theme="4" tint="-0.499984740745262"/>
        <rFont val="Calibri"/>
        <family val="2"/>
        <scheme val="minor"/>
      </rPr>
      <t xml:space="preserve">    Expenses</t>
    </r>
  </si>
  <si>
    <t>Tea</t>
  </si>
  <si>
    <t>Offline</t>
  </si>
  <si>
    <t>Fs</t>
  </si>
  <si>
    <t>Water</t>
  </si>
  <si>
    <t>Total</t>
  </si>
  <si>
    <t xml:space="preserve">Total </t>
  </si>
  <si>
    <t>Expenses</t>
  </si>
  <si>
    <t xml:space="preserve">Balance Amount </t>
  </si>
  <si>
    <t xml:space="preserve"> </t>
  </si>
  <si>
    <t>B.Com</t>
  </si>
  <si>
    <t>RCH</t>
  </si>
  <si>
    <t>Suba</t>
  </si>
  <si>
    <t>Driver</t>
  </si>
  <si>
    <t>Bala Sir Andal</t>
  </si>
  <si>
    <t>Phone</t>
  </si>
  <si>
    <t>PAid</t>
  </si>
  <si>
    <t>Date :11/11/2025 Accounts</t>
  </si>
  <si>
    <t>107, 108</t>
  </si>
  <si>
    <t>109, 110, 111</t>
  </si>
  <si>
    <t>Hwh</t>
  </si>
  <si>
    <t>409, 408, 410, 401, 101, 212, 213, 214,410</t>
  </si>
  <si>
    <t>Valivittan</t>
  </si>
  <si>
    <t>209, 210</t>
  </si>
  <si>
    <t>203, 300, 301, 302, 101, 106, 112, 113, 114, 404, 405, 406, 407, 308, 309, 312, 313, 403</t>
  </si>
  <si>
    <t>2 days</t>
  </si>
  <si>
    <t>3 days</t>
  </si>
  <si>
    <t>RK Iyer</t>
  </si>
  <si>
    <t>104, 105</t>
  </si>
  <si>
    <t>303, 305, 306, 307</t>
  </si>
  <si>
    <t>204, 205, 206, 211</t>
  </si>
  <si>
    <t>Bala Sir Mani Raj</t>
  </si>
  <si>
    <t>Bala Sir Home Cable</t>
  </si>
  <si>
    <t>Bala Sir Gpay</t>
  </si>
  <si>
    <t>Diesel</t>
  </si>
  <si>
    <t>Mari Akka</t>
  </si>
  <si>
    <t>Myuri Akka</t>
  </si>
  <si>
    <t>Dhanam Akka</t>
  </si>
  <si>
    <t>Muneeswari</t>
  </si>
  <si>
    <t>Cp-4</t>
  </si>
  <si>
    <t>Flower</t>
  </si>
  <si>
    <t>Bala Sir Wife</t>
  </si>
  <si>
    <t>Manoj</t>
  </si>
  <si>
    <t>Manoj Food</t>
  </si>
  <si>
    <t>Room Boy Food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</si>
</sst>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2" fillId="0" borderId="0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NumberFormat="1" applyBorder="1" applyAlignment="1">
      <alignment wrapText="1"/>
    </xf>
    <xf numFmtId="3" fontId="3" fillId="0" borderId="1" xfId="0" applyNumberFormat="1" applyFont="1" applyBorder="1"/>
    <xf numFmtId="3" fontId="1" fillId="0" borderId="0" xfId="0" applyNumberFormat="1" applyFont="1" applyBorder="1" applyAlignment="1">
      <alignment wrapText="1"/>
    </xf>
    <xf numFmtId="3" fontId="3" fillId="0" borderId="0" xfId="0" applyNumberFormat="1" applyFont="1" applyBorder="1"/>
    <xf numFmtId="0" fontId="0" fillId="0" borderId="1" xfId="0" applyFont="1" applyBorder="1"/>
    <xf numFmtId="0" fontId="0" fillId="0" borderId="1" xfId="0" applyFill="1" applyBorder="1"/>
    <xf numFmtId="0" fontId="2" fillId="0" borderId="1" xfId="0" applyFont="1" applyBorder="1"/>
    <xf numFmtId="0" fontId="0" fillId="0" borderId="0" xfId="0" applyFont="1"/>
    <xf numFmtId="0" fontId="0" fillId="0" borderId="0" xfId="0" applyFont="1" applyBorder="1"/>
    <xf numFmtId="3" fontId="2" fillId="0" borderId="1" xfId="0" applyNumberFormat="1" applyFont="1" applyBorder="1"/>
    <xf numFmtId="0" fontId="5" fillId="0" borderId="1" xfId="0" applyFont="1" applyBorder="1" applyAlignment="1">
      <alignment wrapText="1"/>
    </xf>
    <xf numFmtId="3" fontId="5" fillId="0" borderId="1" xfId="0" applyNumberFormat="1" applyFont="1" applyBorder="1"/>
    <xf numFmtId="3" fontId="1" fillId="0" borderId="1" xfId="0" applyNumberFormat="1" applyFont="1" applyBorder="1" applyAlignment="1">
      <alignment wrapText="1"/>
    </xf>
    <xf numFmtId="0" fontId="1" fillId="0" borderId="1" xfId="0" applyFont="1" applyFill="1" applyBorder="1"/>
    <xf numFmtId="0" fontId="3" fillId="0" borderId="0" xfId="0" applyFont="1"/>
    <xf numFmtId="0" fontId="3" fillId="0" borderId="1" xfId="0" applyFont="1" applyFill="1" applyBorder="1"/>
    <xf numFmtId="0" fontId="3" fillId="0" borderId="1" xfId="0" applyFont="1" applyBorder="1"/>
    <xf numFmtId="0" fontId="3" fillId="0" borderId="0" xfId="0" applyFont="1" applyBorder="1"/>
    <xf numFmtId="0" fontId="0" fillId="2" borderId="1" xfId="0" applyFill="1" applyBorder="1"/>
    <xf numFmtId="3" fontId="1" fillId="2" borderId="1" xfId="0" applyNumberFormat="1" applyFont="1" applyFill="1" applyBorder="1" applyAlignment="1">
      <alignment wrapText="1"/>
    </xf>
    <xf numFmtId="3" fontId="3" fillId="2" borderId="1" xfId="0" applyNumberFormat="1" applyFont="1" applyFill="1" applyBorder="1"/>
    <xf numFmtId="3" fontId="3" fillId="2" borderId="1" xfId="0" applyNumberFormat="1" applyFont="1" applyFill="1" applyBorder="1" applyAlignment="1">
      <alignment wrapText="1"/>
    </xf>
    <xf numFmtId="0" fontId="0" fillId="0" borderId="2" xfId="0" applyFill="1" applyBorder="1"/>
    <xf numFmtId="0" fontId="0" fillId="0" borderId="2" xfId="0" applyFill="1" applyBorder="1" applyAlignment="1">
      <alignment wrapText="1"/>
    </xf>
    <xf numFmtId="0" fontId="0" fillId="3" borderId="1" xfId="0" applyFill="1" applyBorder="1"/>
    <xf numFmtId="14" fontId="0" fillId="0" borderId="1" xfId="0" applyNumberFormat="1" applyBorder="1"/>
    <xf numFmtId="0" fontId="0" fillId="0" borderId="1" xfId="0" applyNumberFormat="1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1"/>
  <sheetViews>
    <sheetView tabSelected="1" topLeftCell="A22" workbookViewId="0">
      <selection activeCell="I41" sqref="I41"/>
    </sheetView>
  </sheetViews>
  <sheetFormatPr defaultRowHeight="14.4"/>
  <cols>
    <col min="1" max="1" width="11.33203125" customWidth="1"/>
    <col min="2" max="2" width="12.44140625" customWidth="1"/>
    <col min="3" max="3" width="34.109375" customWidth="1"/>
    <col min="4" max="4" width="12.6640625" customWidth="1"/>
    <col min="5" max="5" width="11" bestFit="1" customWidth="1"/>
    <col min="6" max="6" width="15.109375" customWidth="1"/>
    <col min="7" max="7" width="10.5546875" customWidth="1"/>
  </cols>
  <sheetData>
    <row r="1" spans="1:8" s="1" customFormat="1">
      <c r="A1" s="32" t="s">
        <v>30</v>
      </c>
      <c r="B1" s="33"/>
      <c r="C1" s="33"/>
      <c r="D1" s="33"/>
      <c r="E1" s="33"/>
      <c r="F1" s="33"/>
      <c r="G1" s="33"/>
      <c r="H1" s="33"/>
    </row>
    <row r="2" spans="1:8">
      <c r="A2" s="1"/>
      <c r="B2" s="1"/>
      <c r="C2" s="2"/>
      <c r="D2" s="1"/>
      <c r="E2" s="1"/>
      <c r="F2" s="1"/>
      <c r="G2" s="1"/>
      <c r="H2" s="1"/>
    </row>
    <row r="3" spans="1:8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>
      <c r="A4" s="3">
        <v>1</v>
      </c>
      <c r="B4" s="3" t="s">
        <v>8</v>
      </c>
      <c r="C4" s="4">
        <v>202</v>
      </c>
      <c r="D4" s="3" t="s">
        <v>9</v>
      </c>
      <c r="E4" s="3"/>
      <c r="F4" s="3"/>
      <c r="G4" s="3" t="s">
        <v>11</v>
      </c>
      <c r="H4" s="3"/>
    </row>
    <row r="5" spans="1:8">
      <c r="A5" s="3"/>
      <c r="B5" s="3"/>
      <c r="C5" s="4"/>
      <c r="D5" s="3"/>
      <c r="E5" s="3"/>
      <c r="F5" s="3"/>
      <c r="G5" s="3"/>
      <c r="H5" s="3"/>
    </row>
    <row r="6" spans="1:8">
      <c r="A6" s="3"/>
      <c r="B6" s="3"/>
      <c r="C6" s="4"/>
      <c r="D6" s="3"/>
      <c r="E6" s="3"/>
      <c r="F6" s="3"/>
      <c r="G6" s="3"/>
      <c r="H6" s="3"/>
    </row>
    <row r="7" spans="1:8">
      <c r="A7" s="3"/>
      <c r="B7" s="3"/>
      <c r="C7" s="4"/>
      <c r="D7" s="3"/>
      <c r="E7" s="3"/>
      <c r="F7" s="3"/>
      <c r="G7" s="3"/>
      <c r="H7" s="3"/>
    </row>
    <row r="8" spans="1:8">
      <c r="A8" s="3">
        <v>3</v>
      </c>
      <c r="B8" s="3" t="s">
        <v>8</v>
      </c>
      <c r="C8" s="4" t="s">
        <v>31</v>
      </c>
      <c r="D8" s="3" t="s">
        <v>9</v>
      </c>
      <c r="E8" s="3"/>
      <c r="F8" s="3"/>
      <c r="G8" s="3" t="s">
        <v>29</v>
      </c>
      <c r="H8" s="3"/>
    </row>
    <row r="9" spans="1:8">
      <c r="A9" s="3">
        <v>4</v>
      </c>
      <c r="B9" s="3" t="s">
        <v>26</v>
      </c>
      <c r="C9" s="4">
        <v>311</v>
      </c>
      <c r="D9" s="3" t="s">
        <v>10</v>
      </c>
      <c r="E9" s="3">
        <v>2200</v>
      </c>
      <c r="F9" s="3"/>
      <c r="G9" s="3">
        <v>2200</v>
      </c>
      <c r="H9" s="3"/>
    </row>
    <row r="10" spans="1:8">
      <c r="A10" s="3">
        <v>5</v>
      </c>
      <c r="B10" s="3" t="s">
        <v>28</v>
      </c>
      <c r="C10" s="4">
        <v>207</v>
      </c>
      <c r="D10" s="3" t="s">
        <v>10</v>
      </c>
      <c r="E10" s="3">
        <v>1200</v>
      </c>
      <c r="F10" s="3"/>
      <c r="G10" s="3">
        <v>1200</v>
      </c>
      <c r="H10" s="3"/>
    </row>
    <row r="11" spans="1:8">
      <c r="A11" s="3">
        <v>6</v>
      </c>
      <c r="B11" s="3" t="s">
        <v>23</v>
      </c>
      <c r="C11" s="4">
        <v>201</v>
      </c>
      <c r="D11" s="3" t="s">
        <v>10</v>
      </c>
      <c r="E11" s="3">
        <v>1103</v>
      </c>
      <c r="F11" s="3">
        <v>1000</v>
      </c>
      <c r="G11" s="3">
        <v>103</v>
      </c>
      <c r="H11" s="3"/>
    </row>
    <row r="12" spans="1:8">
      <c r="A12" s="3">
        <v>7</v>
      </c>
      <c r="B12" s="3" t="s">
        <v>25</v>
      </c>
      <c r="C12" s="4">
        <v>200</v>
      </c>
      <c r="D12" s="3" t="s">
        <v>10</v>
      </c>
      <c r="E12" s="3">
        <v>1800</v>
      </c>
      <c r="F12" s="3">
        <v>1000</v>
      </c>
      <c r="G12" s="3">
        <v>800</v>
      </c>
      <c r="H12" s="3"/>
    </row>
    <row r="13" spans="1:8">
      <c r="A13" s="3">
        <v>8</v>
      </c>
      <c r="B13" s="3" t="s">
        <v>28</v>
      </c>
      <c r="C13" s="4">
        <v>102</v>
      </c>
      <c r="D13" s="3" t="s">
        <v>10</v>
      </c>
      <c r="E13" s="3">
        <v>1000</v>
      </c>
      <c r="F13" s="3"/>
      <c r="G13" s="3">
        <v>1000</v>
      </c>
      <c r="H13" s="3"/>
    </row>
    <row r="14" spans="1:8">
      <c r="A14" s="3">
        <v>11</v>
      </c>
      <c r="B14" s="3" t="s">
        <v>28</v>
      </c>
      <c r="C14" s="4" t="s">
        <v>32</v>
      </c>
      <c r="D14" s="3" t="s">
        <v>9</v>
      </c>
      <c r="E14" s="3">
        <v>6000</v>
      </c>
      <c r="F14" s="3"/>
      <c r="G14" s="3">
        <v>6000</v>
      </c>
      <c r="H14" s="3"/>
    </row>
    <row r="15" spans="1:8" ht="28.8">
      <c r="A15">
        <v>20</v>
      </c>
      <c r="B15" s="27" t="s">
        <v>33</v>
      </c>
      <c r="C15" s="28" t="s">
        <v>34</v>
      </c>
      <c r="D15" s="27" t="s">
        <v>10</v>
      </c>
      <c r="E15">
        <v>12400</v>
      </c>
      <c r="F15">
        <v>3000</v>
      </c>
      <c r="G15">
        <v>9400</v>
      </c>
    </row>
    <row r="16" spans="1:8">
      <c r="A16" s="3">
        <v>21</v>
      </c>
      <c r="B16" s="3" t="s">
        <v>35</v>
      </c>
      <c r="C16" s="4">
        <v>208</v>
      </c>
      <c r="D16" s="3" t="s">
        <v>10</v>
      </c>
      <c r="E16" s="3">
        <v>1400</v>
      </c>
      <c r="F16" s="3"/>
      <c r="G16" s="3">
        <v>1400</v>
      </c>
      <c r="H16" s="3"/>
    </row>
    <row r="17" spans="1:8">
      <c r="A17" s="3">
        <v>23</v>
      </c>
      <c r="B17" s="3" t="s">
        <v>35</v>
      </c>
      <c r="C17" s="4" t="s">
        <v>36</v>
      </c>
      <c r="D17" s="3" t="s">
        <v>10</v>
      </c>
      <c r="E17" s="3">
        <v>2800</v>
      </c>
      <c r="F17" s="3"/>
      <c r="G17" s="3">
        <v>2800</v>
      </c>
      <c r="H17" s="3"/>
    </row>
    <row r="18" spans="1:8" ht="43.2">
      <c r="A18" s="3">
        <v>41</v>
      </c>
      <c r="B18" s="3" t="s">
        <v>25</v>
      </c>
      <c r="C18" s="4" t="s">
        <v>37</v>
      </c>
      <c r="D18" s="3" t="s">
        <v>10</v>
      </c>
      <c r="E18" s="3">
        <v>20700</v>
      </c>
      <c r="F18" s="3">
        <v>5000</v>
      </c>
      <c r="G18" s="3">
        <v>15700</v>
      </c>
      <c r="H18" s="3"/>
    </row>
    <row r="19" spans="1:8">
      <c r="A19" s="3">
        <v>42</v>
      </c>
      <c r="B19" s="3" t="s">
        <v>8</v>
      </c>
      <c r="C19" s="4">
        <v>310</v>
      </c>
      <c r="D19" s="3" t="s">
        <v>9</v>
      </c>
      <c r="E19" s="3"/>
      <c r="F19" s="3" t="s">
        <v>39</v>
      </c>
      <c r="G19" s="3" t="s">
        <v>29</v>
      </c>
      <c r="H19" s="3"/>
    </row>
    <row r="20" spans="1:8">
      <c r="A20" s="3">
        <v>43</v>
      </c>
      <c r="B20" s="3" t="s">
        <v>8</v>
      </c>
      <c r="C20" s="4">
        <v>304</v>
      </c>
      <c r="D20" s="3" t="s">
        <v>10</v>
      </c>
      <c r="E20" s="3"/>
      <c r="F20" s="3" t="s">
        <v>38</v>
      </c>
      <c r="G20" s="3" t="s">
        <v>29</v>
      </c>
      <c r="H20" s="3"/>
    </row>
    <row r="21" spans="1:8">
      <c r="A21" s="3">
        <v>45</v>
      </c>
      <c r="B21" s="3" t="s">
        <v>40</v>
      </c>
      <c r="C21" s="4" t="s">
        <v>41</v>
      </c>
      <c r="D21" s="3" t="s">
        <v>10</v>
      </c>
      <c r="E21" s="3">
        <v>2000</v>
      </c>
      <c r="F21" s="3"/>
      <c r="G21" s="3">
        <v>2000</v>
      </c>
      <c r="H21" s="3"/>
    </row>
    <row r="22" spans="1:8">
      <c r="A22" s="3">
        <v>49</v>
      </c>
      <c r="B22" s="3" t="s">
        <v>26</v>
      </c>
      <c r="C22" s="4" t="s">
        <v>42</v>
      </c>
      <c r="D22" s="3" t="s">
        <v>9</v>
      </c>
      <c r="E22" s="3">
        <v>5200</v>
      </c>
      <c r="F22" s="3"/>
      <c r="G22" s="3">
        <v>5200</v>
      </c>
      <c r="H22" s="3"/>
    </row>
    <row r="23" spans="1:8">
      <c r="A23" s="3">
        <v>53</v>
      </c>
      <c r="B23" s="3" t="s">
        <v>23</v>
      </c>
      <c r="C23" s="5" t="s">
        <v>43</v>
      </c>
      <c r="D23" s="3" t="s">
        <v>10</v>
      </c>
      <c r="E23" s="3">
        <v>5909</v>
      </c>
      <c r="F23" s="3"/>
      <c r="G23" s="3">
        <v>5909</v>
      </c>
      <c r="H23" s="3"/>
    </row>
    <row r="24" spans="1:8">
      <c r="A24" s="23"/>
      <c r="B24" s="23"/>
      <c r="C24" s="24" t="s">
        <v>12</v>
      </c>
      <c r="D24" s="23"/>
      <c r="E24" s="23"/>
      <c r="F24" s="23"/>
      <c r="G24" s="25">
        <f>SUM(G8:G23)</f>
        <v>53712</v>
      </c>
      <c r="H24" s="23"/>
    </row>
    <row r="25" spans="1:8">
      <c r="A25" s="3"/>
      <c r="B25" s="3"/>
      <c r="C25" s="17"/>
      <c r="D25" s="18"/>
      <c r="E25" s="3"/>
      <c r="F25" s="3"/>
      <c r="G25" s="6"/>
      <c r="H25" s="3"/>
    </row>
    <row r="26" spans="1:8">
      <c r="A26" s="29"/>
      <c r="B26" s="3"/>
      <c r="C26" s="17"/>
      <c r="D26" s="18"/>
      <c r="E26" s="30"/>
      <c r="F26" s="31"/>
      <c r="G26" s="6"/>
      <c r="H26" s="3"/>
    </row>
    <row r="27" spans="1:8">
      <c r="A27" s="3"/>
      <c r="B27" s="3"/>
      <c r="C27" s="17"/>
      <c r="D27" s="18"/>
      <c r="E27" s="30">
        <v>45911</v>
      </c>
      <c r="F27" s="3" t="s">
        <v>6</v>
      </c>
      <c r="G27" s="6">
        <v>8796</v>
      </c>
      <c r="H27" s="3"/>
    </row>
    <row r="28" spans="1:8">
      <c r="A28" s="3"/>
      <c r="B28" s="3"/>
      <c r="C28" s="17"/>
      <c r="D28" s="18"/>
      <c r="E28" s="30">
        <v>45941</v>
      </c>
      <c r="F28" s="3"/>
      <c r="G28" s="6">
        <v>191</v>
      </c>
      <c r="H28" s="3"/>
    </row>
    <row r="29" spans="1:8">
      <c r="A29" s="23"/>
      <c r="B29" s="23"/>
      <c r="C29" s="26" t="s">
        <v>19</v>
      </c>
      <c r="D29" s="23"/>
      <c r="E29" s="23"/>
      <c r="F29" s="23"/>
      <c r="G29" s="25">
        <f>SUM(G24:G28)</f>
        <v>62699</v>
      </c>
      <c r="H29" s="23"/>
    </row>
    <row r="30" spans="1:8">
      <c r="A30" s="1"/>
      <c r="B30" s="1"/>
      <c r="C30" s="7"/>
      <c r="D30" s="1"/>
      <c r="E30" s="1"/>
      <c r="F30" s="1"/>
      <c r="G30" s="8"/>
      <c r="H30" s="1"/>
    </row>
    <row r="31" spans="1:8">
      <c r="C31" s="3" t="s">
        <v>13</v>
      </c>
      <c r="D31" s="3"/>
      <c r="E31" s="3"/>
    </row>
    <row r="32" spans="1:8">
      <c r="C32" s="3" t="s">
        <v>14</v>
      </c>
      <c r="D32" s="3">
        <v>400</v>
      </c>
      <c r="E32" s="3" t="s">
        <v>24</v>
      </c>
      <c r="G32" s="3" t="s">
        <v>8</v>
      </c>
      <c r="H32" s="3">
        <v>5</v>
      </c>
    </row>
    <row r="33" spans="3:8">
      <c r="C33" s="3" t="s">
        <v>17</v>
      </c>
      <c r="D33" s="3">
        <v>440</v>
      </c>
      <c r="E33" s="3"/>
      <c r="G33" s="3" t="s">
        <v>15</v>
      </c>
      <c r="H33" s="3">
        <v>48</v>
      </c>
    </row>
    <row r="34" spans="3:8">
      <c r="C34" s="3" t="s">
        <v>27</v>
      </c>
      <c r="D34" s="3">
        <v>1000</v>
      </c>
      <c r="E34" s="3">
        <v>9360957605</v>
      </c>
      <c r="G34" s="3" t="s">
        <v>16</v>
      </c>
      <c r="H34" s="3">
        <v>0</v>
      </c>
    </row>
    <row r="35" spans="3:8">
      <c r="C35" s="3" t="s">
        <v>44</v>
      </c>
      <c r="D35" s="9">
        <v>600</v>
      </c>
      <c r="E35" s="3">
        <v>6380333876</v>
      </c>
      <c r="G35" s="3"/>
      <c r="H35" s="3"/>
    </row>
    <row r="36" spans="3:8">
      <c r="C36" s="10" t="s">
        <v>45</v>
      </c>
      <c r="D36" s="3">
        <v>300</v>
      </c>
      <c r="E36" s="3"/>
      <c r="G36" s="11" t="s">
        <v>18</v>
      </c>
      <c r="H36" s="11">
        <f>SUM(H32:H34)</f>
        <v>53</v>
      </c>
    </row>
    <row r="37" spans="3:8">
      <c r="C37" s="10" t="s">
        <v>46</v>
      </c>
      <c r="D37" s="3">
        <v>2000</v>
      </c>
      <c r="E37" s="3">
        <v>9842179559</v>
      </c>
      <c r="H37" s="2"/>
    </row>
    <row r="38" spans="3:8">
      <c r="C38" s="10" t="s">
        <v>47</v>
      </c>
      <c r="D38" s="3">
        <v>6000</v>
      </c>
      <c r="E38" s="3"/>
      <c r="H38" s="2"/>
    </row>
    <row r="39" spans="3:8">
      <c r="C39" s="10" t="s">
        <v>48</v>
      </c>
      <c r="D39" s="3">
        <v>9500</v>
      </c>
      <c r="E39" s="3"/>
      <c r="H39" s="2"/>
    </row>
    <row r="40" spans="3:8">
      <c r="C40" s="10" t="s">
        <v>49</v>
      </c>
      <c r="D40" s="3">
        <v>7800</v>
      </c>
      <c r="E40" s="3"/>
      <c r="H40" s="2"/>
    </row>
    <row r="41" spans="3:8">
      <c r="C41" s="10" t="s">
        <v>50</v>
      </c>
      <c r="D41" s="3">
        <v>3600</v>
      </c>
      <c r="E41" s="3"/>
      <c r="H41" s="2"/>
    </row>
    <row r="42" spans="3:8">
      <c r="C42" s="10" t="s">
        <v>51</v>
      </c>
      <c r="D42" s="3">
        <v>9000</v>
      </c>
      <c r="E42" s="3"/>
      <c r="H42" s="2"/>
    </row>
    <row r="43" spans="3:8">
      <c r="C43" s="10" t="s">
        <v>52</v>
      </c>
      <c r="D43" s="3">
        <v>460</v>
      </c>
      <c r="E43" s="3"/>
      <c r="H43" s="2"/>
    </row>
    <row r="44" spans="3:8">
      <c r="C44" s="10" t="s">
        <v>53</v>
      </c>
      <c r="D44" s="3">
        <v>250</v>
      </c>
      <c r="E44" s="3"/>
      <c r="H44" s="2"/>
    </row>
    <row r="45" spans="3:8">
      <c r="C45" s="10" t="s">
        <v>55</v>
      </c>
      <c r="D45" s="3">
        <v>12000</v>
      </c>
      <c r="E45" s="3"/>
      <c r="H45" s="2"/>
    </row>
    <row r="46" spans="3:8">
      <c r="C46" s="10" t="s">
        <v>56</v>
      </c>
      <c r="D46" s="3">
        <v>200</v>
      </c>
      <c r="E46" s="3"/>
      <c r="H46" s="2"/>
    </row>
    <row r="47" spans="3:8">
      <c r="C47" s="10" t="s">
        <v>57</v>
      </c>
      <c r="D47" s="3">
        <v>450</v>
      </c>
      <c r="E47" s="3"/>
      <c r="H47" s="2"/>
    </row>
    <row r="48" spans="3:8">
      <c r="C48" s="10" t="s">
        <v>54</v>
      </c>
      <c r="D48" s="3">
        <v>2000</v>
      </c>
      <c r="E48" s="3">
        <v>9597733001</v>
      </c>
      <c r="H48" s="2"/>
    </row>
    <row r="49" spans="3:8">
      <c r="C49" s="20" t="s">
        <v>18</v>
      </c>
      <c r="D49" s="21">
        <f>SUM(D32:D48)</f>
        <v>56000</v>
      </c>
      <c r="E49" s="21"/>
      <c r="G49" s="11" t="s">
        <v>19</v>
      </c>
      <c r="H49" s="14">
        <f>G29</f>
        <v>62699</v>
      </c>
    </row>
    <row r="50" spans="3:8">
      <c r="G50" s="11" t="s">
        <v>20</v>
      </c>
      <c r="H50" s="14">
        <f>D49</f>
        <v>56000</v>
      </c>
    </row>
    <row r="51" spans="3:8">
      <c r="G51" s="3"/>
      <c r="H51" s="3"/>
    </row>
    <row r="52" spans="3:8" ht="28.8">
      <c r="G52" s="15" t="s">
        <v>21</v>
      </c>
      <c r="H52" s="16">
        <f>(G29-D49)</f>
        <v>6699</v>
      </c>
    </row>
    <row r="53" spans="3:8">
      <c r="H53" s="2"/>
    </row>
    <row r="54" spans="3:8">
      <c r="H54" s="2"/>
    </row>
    <row r="55" spans="3:8">
      <c r="H55" s="2"/>
    </row>
    <row r="56" spans="3:8">
      <c r="H56" s="2"/>
    </row>
    <row r="57" spans="3:8">
      <c r="H57" s="2"/>
    </row>
    <row r="58" spans="3:8">
      <c r="H58" s="2"/>
    </row>
    <row r="59" spans="3:8">
      <c r="H59" s="2"/>
    </row>
    <row r="60" spans="3:8">
      <c r="H60" s="2"/>
    </row>
    <row r="61" spans="3:8">
      <c r="H61" s="2"/>
    </row>
    <row r="62" spans="3:8">
      <c r="H62" s="2"/>
    </row>
    <row r="63" spans="3:8">
      <c r="H63" s="2"/>
    </row>
    <row r="64" spans="3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1:9">
      <c r="H81" s="2"/>
    </row>
    <row r="82" spans="1:9">
      <c r="H82" s="2"/>
    </row>
    <row r="83" spans="1:9">
      <c r="H83" s="2"/>
    </row>
    <row r="84" spans="1:9">
      <c r="F84" s="19"/>
      <c r="H84" s="2"/>
    </row>
    <row r="85" spans="1:9">
      <c r="F85" s="12"/>
      <c r="H85" s="2"/>
    </row>
    <row r="86" spans="1:9">
      <c r="A86" s="19"/>
      <c r="B86" s="19"/>
      <c r="F86" s="12"/>
      <c r="G86" s="19"/>
      <c r="H86" s="22"/>
    </row>
    <row r="87" spans="1:9">
      <c r="A87" s="12"/>
      <c r="B87" s="12"/>
      <c r="F87" s="12"/>
      <c r="G87" s="12"/>
      <c r="H87" s="13"/>
    </row>
    <row r="88" spans="1:9">
      <c r="A88" s="12"/>
      <c r="B88" s="12"/>
      <c r="G88" s="12"/>
      <c r="H88" s="13"/>
    </row>
    <row r="89" spans="1:9">
      <c r="A89" s="12"/>
      <c r="B89" s="12"/>
      <c r="G89" s="12"/>
      <c r="H89" s="13"/>
    </row>
    <row r="90" spans="1:9">
      <c r="H90" s="2"/>
    </row>
    <row r="91" spans="1:9">
      <c r="H91" s="2"/>
    </row>
    <row r="92" spans="1:9">
      <c r="H92" s="2"/>
    </row>
    <row r="93" spans="1:9">
      <c r="H93" s="2"/>
    </row>
    <row r="94" spans="1:9">
      <c r="H94" s="2"/>
      <c r="I94" s="2"/>
    </row>
    <row r="95" spans="1:9">
      <c r="H95" s="2"/>
      <c r="I95" s="2"/>
    </row>
    <row r="96" spans="1:9">
      <c r="H96" s="2"/>
      <c r="I96" s="2"/>
    </row>
    <row r="97" spans="8:9">
      <c r="H97" s="2"/>
      <c r="I97" s="2"/>
    </row>
    <row r="98" spans="8:9">
      <c r="H98" s="2"/>
    </row>
    <row r="99" spans="8:9">
      <c r="H99" s="2"/>
    </row>
    <row r="100" spans="8:9">
      <c r="H100" s="2"/>
    </row>
    <row r="101" spans="8:9">
      <c r="H101" s="2"/>
    </row>
    <row r="102" spans="8:9">
      <c r="H102" s="2"/>
      <c r="I102" s="2"/>
    </row>
    <row r="103" spans="8:9">
      <c r="H103" s="2"/>
    </row>
    <row r="104" spans="8:9">
      <c r="H104" s="2"/>
    </row>
    <row r="105" spans="8:9">
      <c r="H105" s="2"/>
    </row>
    <row r="106" spans="8:9">
      <c r="H106" s="2"/>
    </row>
    <row r="107" spans="8:9">
      <c r="H107" s="2"/>
    </row>
    <row r="108" spans="8:9">
      <c r="H108" s="2"/>
    </row>
    <row r="109" spans="8:9">
      <c r="H109" s="2"/>
    </row>
    <row r="110" spans="8:9">
      <c r="H110" s="2"/>
    </row>
    <row r="111" spans="8:9">
      <c r="H111" s="2"/>
    </row>
    <row r="112" spans="8:9">
      <c r="H112" s="2"/>
    </row>
    <row r="113" spans="1:9">
      <c r="H113" s="2"/>
    </row>
    <row r="114" spans="1:9">
      <c r="H114" s="2"/>
    </row>
    <row r="115" spans="1:9">
      <c r="H115" s="2"/>
    </row>
    <row r="116" spans="1:9">
      <c r="H116" s="2"/>
    </row>
    <row r="117" spans="1:9">
      <c r="H117" s="2"/>
    </row>
    <row r="118" spans="1:9">
      <c r="H118" s="2"/>
    </row>
    <row r="119" spans="1:9">
      <c r="H119" s="2"/>
    </row>
    <row r="120" spans="1:9">
      <c r="I120" s="2"/>
    </row>
    <row r="121" spans="1:9">
      <c r="I121" s="2"/>
    </row>
    <row r="122" spans="1:9">
      <c r="I122" s="2"/>
    </row>
    <row r="123" spans="1:9">
      <c r="I123" s="2"/>
    </row>
    <row r="124" spans="1:9">
      <c r="I124" s="2"/>
    </row>
    <row r="125" spans="1:9">
      <c r="I125" s="2"/>
    </row>
    <row r="126" spans="1:9" s="12" customFormat="1">
      <c r="A126"/>
      <c r="B126"/>
      <c r="C126"/>
      <c r="D126"/>
      <c r="E126"/>
      <c r="F126"/>
      <c r="G126"/>
      <c r="H126"/>
    </row>
    <row r="127" spans="1:9" s="12" customFormat="1">
      <c r="A127"/>
      <c r="B127"/>
      <c r="C127"/>
      <c r="D127"/>
      <c r="E127"/>
      <c r="F127"/>
      <c r="G127"/>
      <c r="H127"/>
    </row>
    <row r="128" spans="1:9" s="19" customFormat="1">
      <c r="A128"/>
      <c r="B128"/>
      <c r="C128"/>
      <c r="D128"/>
      <c r="E128"/>
      <c r="F128"/>
      <c r="G128"/>
      <c r="H128"/>
    </row>
    <row r="129" spans="1:8" s="12" customFormat="1">
      <c r="A129"/>
      <c r="B129"/>
      <c r="C129"/>
      <c r="D129"/>
      <c r="E129"/>
      <c r="F129"/>
      <c r="G129"/>
      <c r="H129"/>
    </row>
    <row r="130" spans="1:8">
      <c r="H130" s="2"/>
    </row>
    <row r="131" spans="1:8">
      <c r="H131" s="2"/>
    </row>
    <row r="132" spans="1:8">
      <c r="H132" s="2"/>
    </row>
    <row r="133" spans="1:8">
      <c r="H133" s="2"/>
    </row>
    <row r="134" spans="1:8">
      <c r="H134" s="2"/>
    </row>
    <row r="135" spans="1:8">
      <c r="H135" s="2"/>
    </row>
    <row r="136" spans="1:8">
      <c r="H136" s="2"/>
    </row>
    <row r="137" spans="1:8">
      <c r="H137" s="2"/>
    </row>
    <row r="138" spans="1:8">
      <c r="H138" s="2"/>
    </row>
    <row r="139" spans="1:8">
      <c r="H139" s="2"/>
    </row>
    <row r="140" spans="1:8">
      <c r="H140" s="2"/>
    </row>
    <row r="141" spans="1:8">
      <c r="H141" s="2"/>
    </row>
    <row r="142" spans="1:8">
      <c r="H142" s="2"/>
    </row>
    <row r="143" spans="1:8">
      <c r="H143" s="2"/>
    </row>
    <row r="144" spans="1:8">
      <c r="H144" s="2"/>
    </row>
    <row r="145" spans="8:9">
      <c r="H145" s="2"/>
    </row>
    <row r="146" spans="8:9">
      <c r="H146" s="2"/>
    </row>
    <row r="147" spans="8:9">
      <c r="H147" s="2"/>
    </row>
    <row r="148" spans="8:9">
      <c r="H148" s="2"/>
    </row>
    <row r="149" spans="8:9">
      <c r="H149" s="2"/>
    </row>
    <row r="150" spans="8:9">
      <c r="H150" s="2"/>
    </row>
    <row r="151" spans="8:9">
      <c r="H151" s="2"/>
    </row>
    <row r="152" spans="8:9">
      <c r="H152" s="2"/>
    </row>
    <row r="153" spans="8:9">
      <c r="H153" s="2"/>
      <c r="I153" s="2"/>
    </row>
    <row r="154" spans="8:9">
      <c r="H154" s="2"/>
      <c r="I154" s="2"/>
    </row>
    <row r="155" spans="8:9">
      <c r="H155" s="2"/>
      <c r="I155" s="2"/>
    </row>
    <row r="156" spans="8:9">
      <c r="H156" s="2"/>
      <c r="I156" s="2"/>
    </row>
    <row r="157" spans="8:9">
      <c r="H157" s="2"/>
    </row>
    <row r="158" spans="8:9">
      <c r="H158" s="2"/>
    </row>
    <row r="159" spans="8:9">
      <c r="H159" s="2"/>
    </row>
    <row r="160" spans="8:9">
      <c r="H160" s="2"/>
    </row>
    <row r="161" spans="8:8">
      <c r="H161" s="2"/>
    </row>
    <row r="162" spans="8:8">
      <c r="H16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7:8">
      <c r="H177" s="2"/>
    </row>
    <row r="178" spans="7:8">
      <c r="H178" s="2"/>
    </row>
    <row r="179" spans="7:8">
      <c r="H179" s="2"/>
    </row>
    <row r="180" spans="7:8">
      <c r="H180" s="2"/>
    </row>
    <row r="181" spans="7:8">
      <c r="H181" s="2"/>
    </row>
    <row r="182" spans="7:8">
      <c r="H182" s="2"/>
    </row>
    <row r="183" spans="7:8">
      <c r="H183" s="2"/>
    </row>
    <row r="184" spans="7:8">
      <c r="H184" s="2"/>
    </row>
    <row r="190" spans="7:8">
      <c r="G190" t="s">
        <v>22</v>
      </c>
    </row>
    <row r="298" spans="11:11">
      <c r="K298" t="s">
        <v>22</v>
      </c>
    </row>
    <row r="312" spans="9:9">
      <c r="I312" s="2"/>
    </row>
    <row r="338" spans="9:9">
      <c r="I338" s="2"/>
    </row>
    <row r="339" spans="9:9">
      <c r="I339" s="2"/>
    </row>
    <row r="340" spans="9:9">
      <c r="I340" s="2"/>
    </row>
    <row r="341" spans="9:9">
      <c r="I341" s="2"/>
    </row>
    <row r="342" spans="9:9">
      <c r="I342" s="2"/>
    </row>
    <row r="343" spans="9:9">
      <c r="I343" s="2"/>
    </row>
    <row r="344" spans="9:9">
      <c r="I344" s="2"/>
    </row>
    <row r="345" spans="9:9">
      <c r="I345" s="2"/>
    </row>
    <row r="346" spans="9:9">
      <c r="I346" s="2"/>
    </row>
    <row r="347" spans="9:9">
      <c r="I347" s="2"/>
    </row>
    <row r="348" spans="9:9">
      <c r="I348" s="2"/>
    </row>
    <row r="349" spans="9:9">
      <c r="I349" s="2"/>
    </row>
    <row r="350" spans="9:9">
      <c r="I350" s="2"/>
    </row>
    <row r="351" spans="9:9">
      <c r="I351" s="2"/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2025-06-08T07:56:31Z</dcterms:created>
  <dcterms:modified xsi:type="dcterms:W3CDTF">2025-11-16T09:40:08Z</dcterms:modified>
</cp:coreProperties>
</file>